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보윤\Nolan Ball\Nolan Ball_자료\"/>
    </mc:Choice>
  </mc:AlternateContent>
  <xr:revisionPtr revIDLastSave="0" documentId="13_ncr:1_{AC6391E1-A418-4794-9C74-41D76657946A}" xr6:coauthVersionLast="47" xr6:coauthVersionMax="47" xr10:uidLastSave="{00000000-0000-0000-0000-000000000000}"/>
  <bookViews>
    <workbookView xWindow="-120" yWindow="-120" windowWidth="29040" windowHeight="15720" xr2:uid="{023912A1-E8C0-4E24-BD24-AB33FF5DD246}"/>
  </bookViews>
  <sheets>
    <sheet name="Sheet2" sheetId="2" r:id="rId1"/>
  </sheets>
  <definedNames>
    <definedName name="_xlnm.Print_Area" localSheetId="0">Sheet2!$B$2:$K$32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2" l="1"/>
  <c r="G18" i="2"/>
  <c r="G19" i="2" s="1"/>
  <c r="G25" i="2" s="1"/>
  <c r="E18" i="2"/>
  <c r="E19" i="2" s="1"/>
  <c r="E20" i="2" s="1"/>
  <c r="G27" i="2" l="1"/>
  <c r="G26" i="2"/>
  <c r="G28" i="2"/>
  <c r="I19" i="2"/>
  <c r="I25" i="2" s="1"/>
  <c r="E25" i="2"/>
  <c r="G20" i="2"/>
  <c r="I20" i="2" s="1"/>
  <c r="I18" i="2"/>
  <c r="I27" i="2" l="1"/>
  <c r="I28" i="2"/>
  <c r="G31" i="2" s="1"/>
  <c r="I26" i="2"/>
  <c r="E27" i="2"/>
  <c r="E26" i="2"/>
  <c r="E28" i="2"/>
</calcChain>
</file>

<file path=xl/sharedStrings.xml><?xml version="1.0" encoding="utf-8"?>
<sst xmlns="http://schemas.openxmlformats.org/spreadsheetml/2006/main" count="39" uniqueCount="36">
  <si>
    <t>본 문서는</t>
    <phoneticPr fontId="1" type="noConversion"/>
  </si>
  <si>
    <t xml:space="preserve"> 월</t>
    <phoneticPr fontId="1" type="noConversion"/>
  </si>
  <si>
    <t>건의 작업을 수행할 때, 솔브러시와 놀란볼 사용에 따른</t>
    <phoneticPr fontId="1" type="noConversion"/>
  </si>
  <si>
    <t>인건비 차이를 1년(12개월)단위로 비교한 분석표입니다.</t>
    <phoneticPr fontId="1" type="noConversion"/>
  </si>
  <si>
    <t>1. 기본 계산 조건</t>
    <phoneticPr fontId="1" type="noConversion"/>
  </si>
  <si>
    <t>항목</t>
    <phoneticPr fontId="1" type="noConversion"/>
  </si>
  <si>
    <t>1회당 소요 시간</t>
    <phoneticPr fontId="1" type="noConversion"/>
  </si>
  <si>
    <t>시간당 인건비 (시급)</t>
    <phoneticPr fontId="1" type="noConversion"/>
  </si>
  <si>
    <t>월간 작업 건수</t>
    <phoneticPr fontId="1" type="noConversion"/>
  </si>
  <si>
    <t>놀란볼</t>
    <phoneticPr fontId="1" type="noConversion"/>
  </si>
  <si>
    <t>솔브러시</t>
    <phoneticPr fontId="1" type="noConversion"/>
  </si>
  <si>
    <t>10초</t>
    <phoneticPr fontId="1" type="noConversion"/>
  </si>
  <si>
    <t>3분(180초)</t>
    <phoneticPr fontId="1" type="noConversion"/>
  </si>
  <si>
    <t>11,000원</t>
    <phoneticPr fontId="1" type="noConversion"/>
  </si>
  <si>
    <t>1,000건</t>
    <phoneticPr fontId="1" type="noConversion"/>
  </si>
  <si>
    <t>2. 월간 및 연간 인건비 비교 요약</t>
    <phoneticPr fontId="1" type="noConversion"/>
  </si>
  <si>
    <t>구분</t>
    <phoneticPr fontId="1" type="noConversion"/>
  </si>
  <si>
    <t>비용절감액</t>
    <phoneticPr fontId="1" type="noConversion"/>
  </si>
  <si>
    <t>월 소요시간</t>
    <phoneticPr fontId="1" type="noConversion"/>
  </si>
  <si>
    <t>월 인건비</t>
    <phoneticPr fontId="1" type="noConversion"/>
  </si>
  <si>
    <t>연간 인건비</t>
    <phoneticPr fontId="1" type="noConversion"/>
  </si>
  <si>
    <t>분 절감</t>
    <phoneticPr fontId="1" type="noConversion"/>
  </si>
  <si>
    <t>원</t>
    <phoneticPr fontId="1" type="noConversion"/>
  </si>
  <si>
    <t>3. 12개월 누적 절감 추이</t>
    <phoneticPr fontId="1" type="noConversion"/>
  </si>
  <si>
    <t>개월 수</t>
    <phoneticPr fontId="1" type="noConversion"/>
  </si>
  <si>
    <t>1개월</t>
    <phoneticPr fontId="1" type="noConversion"/>
  </si>
  <si>
    <t>솔브러시 누적 비용(원)</t>
    <phoneticPr fontId="1" type="noConversion"/>
  </si>
  <si>
    <t>놀란볼 누적 비용(원)</t>
    <phoneticPr fontId="1" type="noConversion"/>
  </si>
  <si>
    <t>누적 절감액 (원)</t>
    <phoneticPr fontId="1" type="noConversion"/>
  </si>
  <si>
    <t>3개월 (분기)</t>
    <phoneticPr fontId="1" type="noConversion"/>
  </si>
  <si>
    <t>6개월 (반기)</t>
    <phoneticPr fontId="1" type="noConversion"/>
  </si>
  <si>
    <t>12개월(1년)</t>
    <phoneticPr fontId="1" type="noConversion"/>
  </si>
  <si>
    <t>결론 : Nolan Ball 도입 시 솔브러시 대비 작업 시간을 약 94% 단축할 수 있으며,</t>
    <phoneticPr fontId="1" type="noConversion"/>
  </si>
  <si>
    <t>건의 작업 시 1년에 약</t>
  </si>
  <si>
    <t>만 원의 인건비를 절감할 수 있습니다.</t>
    <phoneticPr fontId="1" type="noConversion"/>
  </si>
  <si>
    <t xml:space="preserve">Nolan Ball볼 vs 솔브러시 연간 인건비 비교 분석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</si>
</sst>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77" fontId="0" fillId="0" borderId="2" xfId="0" applyNumberFormat="1" applyBorder="1">
      <alignment vertical="center"/>
    </xf>
    <xf numFmtId="0" fontId="0" fillId="0" borderId="4" xfId="0" applyBorder="1">
      <alignment vertical="center"/>
    </xf>
    <xf numFmtId="177" fontId="0" fillId="2" borderId="2" xfId="0" applyNumberFormat="1" applyFill="1" applyBorder="1">
      <alignment vertical="center"/>
    </xf>
    <xf numFmtId="0" fontId="0" fillId="2" borderId="4" xfId="0" applyFill="1" applyBorder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017E-F9C7-4556-BC1A-D7D51FAAB4DD}">
  <dimension ref="C3:J31"/>
  <sheetViews>
    <sheetView tabSelected="1" view="pageBreakPreview" zoomScale="85" zoomScaleNormal="100" zoomScaleSheetLayoutView="85" workbookViewId="0">
      <selection activeCell="E5" sqref="E5"/>
    </sheetView>
  </sheetViews>
  <sheetFormatPr defaultRowHeight="16.5" x14ac:dyDescent="0.3"/>
  <cols>
    <col min="2" max="2" width="1.5" customWidth="1"/>
    <col min="4" max="4" width="4.5" customWidth="1"/>
    <col min="5" max="5" width="11.125" customWidth="1"/>
    <col min="7" max="7" width="9.875" bestFit="1" customWidth="1"/>
    <col min="8" max="8" width="11.125" customWidth="1"/>
    <col min="9" max="9" width="12.125" customWidth="1"/>
    <col min="10" max="10" width="9.25" customWidth="1"/>
    <col min="11" max="11" width="1.5" customWidth="1"/>
  </cols>
  <sheetData>
    <row r="3" spans="3:10" ht="26.25" x14ac:dyDescent="0.3">
      <c r="C3" s="17" t="s">
        <v>35</v>
      </c>
      <c r="D3" s="17"/>
      <c r="E3" s="17"/>
      <c r="F3" s="17"/>
      <c r="G3" s="17"/>
      <c r="H3" s="17"/>
      <c r="I3" s="17"/>
      <c r="J3" s="17"/>
    </row>
    <row r="5" spans="3:10" x14ac:dyDescent="0.3">
      <c r="C5" t="s">
        <v>0</v>
      </c>
      <c r="D5" s="1" t="s">
        <v>1</v>
      </c>
      <c r="E5" s="2">
        <v>1000</v>
      </c>
      <c r="F5" s="18" t="s">
        <v>2</v>
      </c>
      <c r="G5" s="18"/>
      <c r="H5" s="18"/>
      <c r="I5" s="18"/>
      <c r="J5" s="18"/>
    </row>
    <row r="6" spans="3:10" x14ac:dyDescent="0.3">
      <c r="C6" s="18" t="s">
        <v>3</v>
      </c>
      <c r="D6" s="18"/>
      <c r="E6" s="18"/>
      <c r="F6" s="18"/>
      <c r="G6" s="18"/>
      <c r="H6" s="18"/>
      <c r="I6" s="18"/>
      <c r="J6" s="18"/>
    </row>
    <row r="8" spans="3:10" ht="26.25" x14ac:dyDescent="0.3">
      <c r="C8" s="4" t="s">
        <v>4</v>
      </c>
    </row>
    <row r="10" spans="3:10" x14ac:dyDescent="0.3">
      <c r="C10" s="19" t="s">
        <v>5</v>
      </c>
      <c r="D10" s="19"/>
      <c r="E10" s="19"/>
      <c r="F10" s="19"/>
      <c r="G10" s="19" t="s">
        <v>9</v>
      </c>
      <c r="H10" s="19"/>
      <c r="I10" s="19" t="s">
        <v>10</v>
      </c>
      <c r="J10" s="19"/>
    </row>
    <row r="11" spans="3:10" x14ac:dyDescent="0.3">
      <c r="C11" s="11" t="s">
        <v>6</v>
      </c>
      <c r="D11" s="11"/>
      <c r="E11" s="11"/>
      <c r="F11" s="11"/>
      <c r="G11" s="11" t="s">
        <v>11</v>
      </c>
      <c r="H11" s="11"/>
      <c r="I11" s="11" t="s">
        <v>12</v>
      </c>
      <c r="J11" s="11"/>
    </row>
    <row r="12" spans="3:10" x14ac:dyDescent="0.3">
      <c r="C12" s="11" t="s">
        <v>7</v>
      </c>
      <c r="D12" s="11"/>
      <c r="E12" s="11"/>
      <c r="F12" s="11"/>
      <c r="G12" s="11" t="s">
        <v>13</v>
      </c>
      <c r="H12" s="11"/>
      <c r="I12" s="11"/>
      <c r="J12" s="11"/>
    </row>
    <row r="13" spans="3:10" x14ac:dyDescent="0.3">
      <c r="C13" s="11" t="s">
        <v>8</v>
      </c>
      <c r="D13" s="11"/>
      <c r="E13" s="11"/>
      <c r="F13" s="11"/>
      <c r="G13" s="11" t="s">
        <v>14</v>
      </c>
      <c r="H13" s="11"/>
      <c r="I13" s="11"/>
      <c r="J13" s="11"/>
    </row>
    <row r="15" spans="3:10" ht="26.25" x14ac:dyDescent="0.3">
      <c r="C15" s="4" t="s">
        <v>15</v>
      </c>
    </row>
    <row r="17" spans="3:10" x14ac:dyDescent="0.3">
      <c r="C17" s="20" t="s">
        <v>16</v>
      </c>
      <c r="D17" s="20"/>
      <c r="E17" s="20" t="s">
        <v>9</v>
      </c>
      <c r="F17" s="20"/>
      <c r="G17" s="20" t="s">
        <v>10</v>
      </c>
      <c r="H17" s="20"/>
      <c r="I17" s="21" t="s">
        <v>17</v>
      </c>
      <c r="J17" s="21"/>
    </row>
    <row r="18" spans="3:10" x14ac:dyDescent="0.3">
      <c r="C18" s="11" t="s">
        <v>18</v>
      </c>
      <c r="D18" s="11"/>
      <c r="E18" s="10">
        <f>ROUND(E5*10/60, 2)</f>
        <v>166.67</v>
      </c>
      <c r="F18" s="10"/>
      <c r="G18" s="10">
        <f>E5*3</f>
        <v>3000</v>
      </c>
      <c r="H18" s="13"/>
      <c r="I18" s="5">
        <f>SUM(G18-E18)</f>
        <v>2833.33</v>
      </c>
      <c r="J18" s="6" t="s">
        <v>21</v>
      </c>
    </row>
    <row r="19" spans="3:10" x14ac:dyDescent="0.3">
      <c r="C19" s="11" t="s">
        <v>19</v>
      </c>
      <c r="D19" s="11"/>
      <c r="E19" s="10">
        <f>ROUND(E18/60*11000, 0)</f>
        <v>30556</v>
      </c>
      <c r="F19" s="10"/>
      <c r="G19" s="10">
        <f>ROUND(G18/60*11000, 0)</f>
        <v>550000</v>
      </c>
      <c r="H19" s="13"/>
      <c r="I19" s="5">
        <f>SUM(G19-E19)</f>
        <v>519444</v>
      </c>
      <c r="J19" s="6" t="s">
        <v>22</v>
      </c>
    </row>
    <row r="20" spans="3:10" x14ac:dyDescent="0.3">
      <c r="C20" s="16" t="s">
        <v>20</v>
      </c>
      <c r="D20" s="16"/>
      <c r="E20" s="14">
        <f>SUM(E19*12)</f>
        <v>366672</v>
      </c>
      <c r="F20" s="14"/>
      <c r="G20" s="14">
        <f>SUM(G19*12)</f>
        <v>6600000</v>
      </c>
      <c r="H20" s="15"/>
      <c r="I20" s="7">
        <f>SUM(G20-E20)</f>
        <v>6233328</v>
      </c>
      <c r="J20" s="8" t="s">
        <v>22</v>
      </c>
    </row>
    <row r="22" spans="3:10" ht="26.25" x14ac:dyDescent="0.3">
      <c r="C22" s="4" t="s">
        <v>23</v>
      </c>
    </row>
    <row r="24" spans="3:10" x14ac:dyDescent="0.3">
      <c r="C24" s="12" t="s">
        <v>24</v>
      </c>
      <c r="D24" s="12"/>
      <c r="E24" s="12" t="s">
        <v>27</v>
      </c>
      <c r="F24" s="12"/>
      <c r="G24" s="12" t="s">
        <v>26</v>
      </c>
      <c r="H24" s="12"/>
      <c r="I24" s="12" t="s">
        <v>28</v>
      </c>
      <c r="J24" s="12"/>
    </row>
    <row r="25" spans="3:10" x14ac:dyDescent="0.3">
      <c r="C25" s="11" t="s">
        <v>25</v>
      </c>
      <c r="D25" s="11"/>
      <c r="E25" s="10">
        <f>E19</f>
        <v>30556</v>
      </c>
      <c r="F25" s="10"/>
      <c r="G25" s="10">
        <f>G19</f>
        <v>550000</v>
      </c>
      <c r="H25" s="10"/>
      <c r="I25" s="10">
        <f>I19</f>
        <v>519444</v>
      </c>
      <c r="J25" s="10"/>
    </row>
    <row r="26" spans="3:10" x14ac:dyDescent="0.3">
      <c r="C26" s="11" t="s">
        <v>29</v>
      </c>
      <c r="D26" s="11"/>
      <c r="E26" s="10">
        <f>E25*3</f>
        <v>91668</v>
      </c>
      <c r="F26" s="10"/>
      <c r="G26" s="10">
        <f>G25*3</f>
        <v>1650000</v>
      </c>
      <c r="H26" s="10"/>
      <c r="I26" s="10">
        <f>I25*3</f>
        <v>1558332</v>
      </c>
      <c r="J26" s="10"/>
    </row>
    <row r="27" spans="3:10" x14ac:dyDescent="0.3">
      <c r="C27" s="11" t="s">
        <v>30</v>
      </c>
      <c r="D27" s="11"/>
      <c r="E27" s="10">
        <f>E25*6</f>
        <v>183336</v>
      </c>
      <c r="F27" s="10"/>
      <c r="G27" s="10">
        <f>G25*6</f>
        <v>3300000</v>
      </c>
      <c r="H27" s="10"/>
      <c r="I27" s="10">
        <f>I25*6</f>
        <v>3116664</v>
      </c>
      <c r="J27" s="10"/>
    </row>
    <row r="28" spans="3:10" x14ac:dyDescent="0.3">
      <c r="C28" s="11" t="s">
        <v>31</v>
      </c>
      <c r="D28" s="11"/>
      <c r="E28" s="10">
        <f>E25*12</f>
        <v>366672</v>
      </c>
      <c r="F28" s="10"/>
      <c r="G28" s="10">
        <f>G25*12</f>
        <v>6600000</v>
      </c>
      <c r="H28" s="10"/>
      <c r="I28" s="10">
        <f>I25*12</f>
        <v>6233328</v>
      </c>
      <c r="J28" s="10"/>
    </row>
    <row r="30" spans="3:10" x14ac:dyDescent="0.3">
      <c r="C30" t="s">
        <v>32</v>
      </c>
    </row>
    <row r="31" spans="3:10" x14ac:dyDescent="0.3">
      <c r="C31" s="9">
        <f>E5</f>
        <v>1000</v>
      </c>
      <c r="D31" s="9"/>
      <c r="E31" t="s">
        <v>33</v>
      </c>
      <c r="G31" s="3">
        <f>I28/10000</f>
        <v>623.33280000000002</v>
      </c>
      <c r="H31" t="s">
        <v>34</v>
      </c>
    </row>
  </sheetData>
  <mergeCells count="47">
    <mergeCell ref="C3:J3"/>
    <mergeCell ref="F5:J5"/>
    <mergeCell ref="C6:J6"/>
    <mergeCell ref="G10:H10"/>
    <mergeCell ref="C17:D17"/>
    <mergeCell ref="E17:F17"/>
    <mergeCell ref="G17:H17"/>
    <mergeCell ref="I17:J17"/>
    <mergeCell ref="C10:F10"/>
    <mergeCell ref="C11:F11"/>
    <mergeCell ref="C12:F12"/>
    <mergeCell ref="C13:F13"/>
    <mergeCell ref="G11:H11"/>
    <mergeCell ref="I10:J10"/>
    <mergeCell ref="I11:J11"/>
    <mergeCell ref="G12:J12"/>
    <mergeCell ref="G13:J13"/>
    <mergeCell ref="G18:H18"/>
    <mergeCell ref="G19:H19"/>
    <mergeCell ref="G20:H20"/>
    <mergeCell ref="C18:D18"/>
    <mergeCell ref="C19:D19"/>
    <mergeCell ref="C20:D20"/>
    <mergeCell ref="E18:F18"/>
    <mergeCell ref="E19:F19"/>
    <mergeCell ref="E20:F20"/>
    <mergeCell ref="C24:D24"/>
    <mergeCell ref="E24:F24"/>
    <mergeCell ref="G24:H24"/>
    <mergeCell ref="I24:J24"/>
    <mergeCell ref="C25:D25"/>
    <mergeCell ref="G25:H25"/>
    <mergeCell ref="C31:D31"/>
    <mergeCell ref="G27:H27"/>
    <mergeCell ref="I25:J25"/>
    <mergeCell ref="I26:J26"/>
    <mergeCell ref="I27:J27"/>
    <mergeCell ref="G28:H28"/>
    <mergeCell ref="I28:J28"/>
    <mergeCell ref="C27:D27"/>
    <mergeCell ref="C28:D28"/>
    <mergeCell ref="E25:F25"/>
    <mergeCell ref="E26:F26"/>
    <mergeCell ref="E27:F27"/>
    <mergeCell ref="E28:F28"/>
    <mergeCell ref="C26:D26"/>
    <mergeCell ref="G26:H26"/>
  </mergeCells>
  <phoneticPr fontId="1" type="noConversion"/>
  <pageMargins left="0.7" right="0.7" top="0.75" bottom="0.75" header="0.3" footer="0.3"/>
  <pageSetup paperSize="9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봉영 최</dc:creator>
  <cp:lastModifiedBy>봉영 최</cp:lastModifiedBy>
  <cp:lastPrinted>2026-05-11T02:45:17Z</cp:lastPrinted>
  <dcterms:created xsi:type="dcterms:W3CDTF">2026-05-06T08:10:54Z</dcterms:created>
  <dcterms:modified xsi:type="dcterms:W3CDTF">2026-05-11T05:12:47Z</dcterms:modified>
</cp:coreProperties>
</file>